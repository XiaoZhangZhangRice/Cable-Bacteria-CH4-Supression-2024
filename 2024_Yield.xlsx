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<sst xmlns="http://schemas.openxmlformats.org/spreadsheetml/2006/main" count="26" uniqueCount="26">
  <si>
    <t>Plot</t>
  </si>
  <si>
    <t>Bag+Tie+Biomass (g)</t>
  </si>
  <si>
    <t>Biomass (g)</t>
  </si>
  <si>
    <t>Grain (g)</t>
  </si>
  <si>
    <t>Grain_14_percent_Moisture_g</t>
  </si>
  <si>
    <t>Yield_Mg_ha</t>
  </si>
  <si>
    <t>S-M-W-1</t>
  </si>
  <si>
    <t>C-S-1</t>
  </si>
  <si>
    <t>S-M-1</t>
  </si>
  <si>
    <t>C-S-MD-1</t>
  </si>
  <si>
    <t>C-1</t>
  </si>
  <si>
    <t>C-S-MD-2</t>
  </si>
  <si>
    <t>C-2</t>
  </si>
  <si>
    <t>C-S-2</t>
  </si>
  <si>
    <t>S-M-2</t>
  </si>
  <si>
    <t>S-M-W-2</t>
  </si>
  <si>
    <t>C-3</t>
  </si>
  <si>
    <t>C-S-3</t>
  </si>
  <si>
    <t>S-M-3</t>
  </si>
  <si>
    <t>S-M-W-3</t>
  </si>
  <si>
    <t>C-S-MD-3</t>
  </si>
  <si>
    <t>C-S-MD-4</t>
  </si>
  <si>
    <t>C-4</t>
  </si>
  <si>
    <t>S-M-W-4</t>
  </si>
  <si>
    <t>S-M-4</t>
  </si>
  <si>
    <t>C-S-4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</si>
</sst>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1" xfId="0" applyAlignment="1" applyFont="1" applyNumberFormat="1">
      <alignment readingOrder="0"/>
    </xf>
    <xf borderId="0" fillId="0" fontId="2" numFmtId="1" xfId="0" applyAlignment="1" applyFont="1" applyNumberFormat="1">
      <alignment readingOrder="0" shrinkToFit="0" vertical="bottom" wrapText="0"/>
    </xf>
    <xf borderId="0" fillId="0" fontId="1" numFmtId="1" xfId="0" applyFont="1" applyNumberForma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0"/>
    <col customWidth="1" min="5" max="5" width="23.5"/>
    <col customWidth="1" min="6" max="6" width="12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1">
        <v>310.0</v>
      </c>
      <c r="C2" s="3">
        <f t="shared" ref="C2:C21" si="1">B2-120</f>
        <v>190</v>
      </c>
      <c r="D2" s="3">
        <f t="shared" ref="D2:D21" si="2">C2*0.5</f>
        <v>95</v>
      </c>
      <c r="E2" s="3">
        <f t="shared" ref="E2:E21" si="3">D2*(98.1/86)</f>
        <v>108.3662791</v>
      </c>
      <c r="F2" s="4">
        <f t="shared" ref="F2:F21" si="4">(E2/1000/1000)/(683.5/10000/10000)
</f>
        <v>15.85461289</v>
      </c>
    </row>
    <row r="3">
      <c r="A3" s="2" t="s">
        <v>7</v>
      </c>
      <c r="B3" s="1">
        <v>252.0</v>
      </c>
      <c r="C3" s="3">
        <f t="shared" si="1"/>
        <v>132</v>
      </c>
      <c r="D3" s="3">
        <f t="shared" si="2"/>
        <v>66</v>
      </c>
      <c r="E3" s="3">
        <f t="shared" si="3"/>
        <v>75.28604651</v>
      </c>
      <c r="F3" s="4">
        <f t="shared" si="4"/>
        <v>11.01478369</v>
      </c>
    </row>
    <row r="4">
      <c r="A4" s="2" t="s">
        <v>8</v>
      </c>
      <c r="B4" s="1">
        <v>256.0</v>
      </c>
      <c r="C4" s="3">
        <f t="shared" si="1"/>
        <v>136</v>
      </c>
      <c r="D4" s="3">
        <f t="shared" si="2"/>
        <v>68</v>
      </c>
      <c r="E4" s="3">
        <f t="shared" si="3"/>
        <v>77.56744186</v>
      </c>
      <c r="F4" s="4">
        <f t="shared" si="4"/>
        <v>11.34856501</v>
      </c>
    </row>
    <row r="5">
      <c r="A5" s="2" t="s">
        <v>9</v>
      </c>
      <c r="B5" s="1">
        <v>276.0</v>
      </c>
      <c r="C5" s="3">
        <f t="shared" si="1"/>
        <v>156</v>
      </c>
      <c r="D5" s="3">
        <f t="shared" si="2"/>
        <v>78</v>
      </c>
      <c r="E5" s="3">
        <f t="shared" si="3"/>
        <v>88.9744186</v>
      </c>
      <c r="F5" s="4">
        <f t="shared" si="4"/>
        <v>13.01747163</v>
      </c>
    </row>
    <row r="6">
      <c r="A6" s="2" t="s">
        <v>10</v>
      </c>
      <c r="B6" s="1">
        <v>228.0</v>
      </c>
      <c r="C6" s="3">
        <f t="shared" si="1"/>
        <v>108</v>
      </c>
      <c r="D6" s="3">
        <f t="shared" si="2"/>
        <v>54</v>
      </c>
      <c r="E6" s="3">
        <f t="shared" si="3"/>
        <v>61.59767442</v>
      </c>
      <c r="F6" s="4">
        <f t="shared" si="4"/>
        <v>9.012095745</v>
      </c>
    </row>
    <row r="7">
      <c r="A7" s="2" t="s">
        <v>11</v>
      </c>
      <c r="B7" s="1">
        <v>252.0</v>
      </c>
      <c r="C7" s="3">
        <f t="shared" si="1"/>
        <v>132</v>
      </c>
      <c r="D7" s="3">
        <f t="shared" si="2"/>
        <v>66</v>
      </c>
      <c r="E7" s="3">
        <f t="shared" si="3"/>
        <v>75.28604651</v>
      </c>
      <c r="F7" s="4">
        <f t="shared" si="4"/>
        <v>11.01478369</v>
      </c>
    </row>
    <row r="8">
      <c r="A8" s="2" t="s">
        <v>12</v>
      </c>
      <c r="B8" s="1">
        <v>242.0</v>
      </c>
      <c r="C8" s="3">
        <f t="shared" si="1"/>
        <v>122</v>
      </c>
      <c r="D8" s="3">
        <f t="shared" si="2"/>
        <v>61</v>
      </c>
      <c r="E8" s="3">
        <f t="shared" si="3"/>
        <v>69.58255814</v>
      </c>
      <c r="F8" s="4">
        <f t="shared" si="4"/>
        <v>10.18033038</v>
      </c>
    </row>
    <row r="9">
      <c r="A9" s="2" t="s">
        <v>13</v>
      </c>
      <c r="B9" s="1">
        <v>226.0</v>
      </c>
      <c r="C9" s="3">
        <f t="shared" si="1"/>
        <v>106</v>
      </c>
      <c r="D9" s="3">
        <f t="shared" si="2"/>
        <v>53</v>
      </c>
      <c r="E9" s="3">
        <f t="shared" si="3"/>
        <v>60.45697674</v>
      </c>
      <c r="F9" s="4">
        <f t="shared" si="4"/>
        <v>8.845205083</v>
      </c>
    </row>
    <row r="10">
      <c r="A10" s="2" t="s">
        <v>14</v>
      </c>
      <c r="B10" s="1">
        <v>290.0</v>
      </c>
      <c r="C10" s="3">
        <f t="shared" si="1"/>
        <v>170</v>
      </c>
      <c r="D10" s="3">
        <f t="shared" si="2"/>
        <v>85</v>
      </c>
      <c r="E10" s="3">
        <f t="shared" si="3"/>
        <v>96.95930233</v>
      </c>
      <c r="F10" s="4">
        <f t="shared" si="4"/>
        <v>14.18570627</v>
      </c>
    </row>
    <row r="11">
      <c r="A11" s="2" t="s">
        <v>15</v>
      </c>
      <c r="B11" s="1">
        <v>286.0</v>
      </c>
      <c r="C11" s="3">
        <f t="shared" si="1"/>
        <v>166</v>
      </c>
      <c r="D11" s="3">
        <f t="shared" si="2"/>
        <v>83</v>
      </c>
      <c r="E11" s="3">
        <f t="shared" si="3"/>
        <v>94.67790698</v>
      </c>
      <c r="F11" s="4">
        <f t="shared" si="4"/>
        <v>13.85192494</v>
      </c>
    </row>
    <row r="12">
      <c r="A12" s="2" t="s">
        <v>16</v>
      </c>
      <c r="B12" s="1">
        <v>256.0</v>
      </c>
      <c r="C12" s="3">
        <f t="shared" si="1"/>
        <v>136</v>
      </c>
      <c r="D12" s="3">
        <f t="shared" si="2"/>
        <v>68</v>
      </c>
      <c r="E12" s="3">
        <f t="shared" si="3"/>
        <v>77.56744186</v>
      </c>
      <c r="F12" s="4">
        <f t="shared" si="4"/>
        <v>11.34856501</v>
      </c>
    </row>
    <row r="13">
      <c r="A13" s="2" t="s">
        <v>17</v>
      </c>
      <c r="B13" s="1">
        <v>278.0</v>
      </c>
      <c r="C13" s="3">
        <f t="shared" si="1"/>
        <v>158</v>
      </c>
      <c r="D13" s="3">
        <f t="shared" si="2"/>
        <v>79</v>
      </c>
      <c r="E13" s="3">
        <f t="shared" si="3"/>
        <v>90.11511628</v>
      </c>
      <c r="F13" s="4">
        <f t="shared" si="4"/>
        <v>13.18436229</v>
      </c>
    </row>
    <row r="14">
      <c r="A14" s="2" t="s">
        <v>18</v>
      </c>
      <c r="B14" s="1">
        <v>262.0</v>
      </c>
      <c r="C14" s="3">
        <f t="shared" si="1"/>
        <v>142</v>
      </c>
      <c r="D14" s="3">
        <f t="shared" si="2"/>
        <v>71</v>
      </c>
      <c r="E14" s="3">
        <f t="shared" si="3"/>
        <v>80.98953488</v>
      </c>
      <c r="F14" s="4">
        <f t="shared" si="4"/>
        <v>11.849237</v>
      </c>
    </row>
    <row r="15">
      <c r="A15" s="2" t="s">
        <v>19</v>
      </c>
      <c r="B15" s="1">
        <v>276.0</v>
      </c>
      <c r="C15" s="3">
        <f t="shared" si="1"/>
        <v>156</v>
      </c>
      <c r="D15" s="3">
        <f t="shared" si="2"/>
        <v>78</v>
      </c>
      <c r="E15" s="3">
        <f t="shared" si="3"/>
        <v>88.9744186</v>
      </c>
      <c r="F15" s="4">
        <f t="shared" si="4"/>
        <v>13.01747163</v>
      </c>
    </row>
    <row r="16">
      <c r="A16" s="2" t="s">
        <v>20</v>
      </c>
      <c r="B16" s="1">
        <v>248.0</v>
      </c>
      <c r="C16" s="3">
        <f t="shared" si="1"/>
        <v>128</v>
      </c>
      <c r="D16" s="3">
        <f t="shared" si="2"/>
        <v>64</v>
      </c>
      <c r="E16" s="3">
        <f t="shared" si="3"/>
        <v>73.00465116</v>
      </c>
      <c r="F16" s="4">
        <f t="shared" si="4"/>
        <v>10.68100236</v>
      </c>
    </row>
    <row r="17">
      <c r="A17" s="2" t="s">
        <v>21</v>
      </c>
      <c r="B17" s="1">
        <v>242.0</v>
      </c>
      <c r="C17" s="3">
        <f t="shared" si="1"/>
        <v>122</v>
      </c>
      <c r="D17" s="3">
        <f t="shared" si="2"/>
        <v>61</v>
      </c>
      <c r="E17" s="3">
        <f t="shared" si="3"/>
        <v>69.58255814</v>
      </c>
      <c r="F17" s="4">
        <f t="shared" si="4"/>
        <v>10.18033038</v>
      </c>
    </row>
    <row r="18">
      <c r="A18" s="2" t="s">
        <v>22</v>
      </c>
      <c r="B18" s="1">
        <v>190.0</v>
      </c>
      <c r="C18" s="3">
        <f t="shared" si="1"/>
        <v>70</v>
      </c>
      <c r="D18" s="3">
        <f t="shared" si="2"/>
        <v>35</v>
      </c>
      <c r="E18" s="3">
        <f t="shared" si="3"/>
        <v>39.9244186</v>
      </c>
      <c r="F18" s="4">
        <f t="shared" si="4"/>
        <v>5.841173168</v>
      </c>
    </row>
    <row r="19">
      <c r="A19" s="2" t="s">
        <v>23</v>
      </c>
      <c r="B19" s="1">
        <v>268.0</v>
      </c>
      <c r="C19" s="3">
        <f t="shared" si="1"/>
        <v>148</v>
      </c>
      <c r="D19" s="3">
        <f t="shared" si="2"/>
        <v>74</v>
      </c>
      <c r="E19" s="3">
        <f t="shared" si="3"/>
        <v>84.41162791</v>
      </c>
      <c r="F19" s="4">
        <f t="shared" si="4"/>
        <v>12.34990898</v>
      </c>
    </row>
    <row r="20">
      <c r="A20" s="2" t="s">
        <v>24</v>
      </c>
      <c r="B20" s="1">
        <v>274.0</v>
      </c>
      <c r="C20" s="3">
        <f t="shared" si="1"/>
        <v>154</v>
      </c>
      <c r="D20" s="3">
        <f t="shared" si="2"/>
        <v>77</v>
      </c>
      <c r="E20" s="3">
        <f t="shared" si="3"/>
        <v>87.83372093</v>
      </c>
      <c r="F20" s="4">
        <f t="shared" si="4"/>
        <v>12.85058097</v>
      </c>
    </row>
    <row r="21">
      <c r="A21" s="2" t="s">
        <v>25</v>
      </c>
      <c r="B21" s="1">
        <v>246.0</v>
      </c>
      <c r="C21" s="3">
        <f t="shared" si="1"/>
        <v>126</v>
      </c>
      <c r="D21" s="3">
        <f t="shared" si="2"/>
        <v>63</v>
      </c>
      <c r="E21" s="3">
        <f t="shared" si="3"/>
        <v>71.86395349</v>
      </c>
      <c r="F21" s="4">
        <f t="shared" si="4"/>
        <v>10.5141117</v>
      </c>
    </row>
  </sheetData>
  <drawing r:id="rId1"/>
</worksheet>
</file>